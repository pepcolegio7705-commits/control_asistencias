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GUEDAD - VACACIONES" sheetId="1" r:id="rId5"/>
  </sheets>
  <definedNames>
    <definedName hidden="1" localSheetId="0" name="_xlnm._FilterDatabase">'ANTIGUEDAD - VACACIONES'!$A$4:$H$71</definedName>
  </definedNames>
  <calcPr/>
</workbook>
</file>

<file path=xl/sharedStrings.xml><?xml version="1.0" encoding="utf-8"?>
<sst xmlns="http://schemas.openxmlformats.org/spreadsheetml/2006/main" count="51" uniqueCount="39">
  <si>
    <t>HOY</t>
  </si>
  <si>
    <t>CATEGORÍA</t>
  </si>
  <si>
    <t>EMPLEADO</t>
  </si>
  <si>
    <t>FECHA DE INGRESO</t>
  </si>
  <si>
    <t>ANTIGÜEDAD</t>
  </si>
  <si>
    <t>DIAS DE VACACIONES</t>
  </si>
  <si>
    <t>DÍAS TOMADOS</t>
  </si>
  <si>
    <t>DÍAS RESTANTES</t>
  </si>
  <si>
    <t>OBSERVACIONES</t>
  </si>
  <si>
    <t>PERÍODO</t>
  </si>
  <si>
    <t>AÑOS</t>
  </si>
  <si>
    <t>DÍAS</t>
  </si>
  <si>
    <t>AUX. OPERATIVO</t>
  </si>
  <si>
    <t>ALTAMIRANTA, Veronica</t>
  </si>
  <si>
    <t>1 AÑO</t>
  </si>
  <si>
    <t>ÁVILA, Ana</t>
  </si>
  <si>
    <t>2 AÑOS</t>
  </si>
  <si>
    <t>AUX. ADMINISTRATIVO</t>
  </si>
  <si>
    <t>CERDA, Nélida</t>
  </si>
  <si>
    <t>3 AÑOS</t>
  </si>
  <si>
    <t>CUAL, Mabel</t>
  </si>
  <si>
    <t>4 AÑOS</t>
  </si>
  <si>
    <t>DELGADO, Paola</t>
  </si>
  <si>
    <t>5 AÑOS</t>
  </si>
  <si>
    <t>IBAÑEZ, Segundo</t>
  </si>
  <si>
    <t>6 A 10 AÑOS</t>
  </si>
  <si>
    <t>KELLER, Gustavo</t>
  </si>
  <si>
    <t>11 A 15 AÑOS</t>
  </si>
  <si>
    <t>LINARES, Maximiliano</t>
  </si>
  <si>
    <t>16 A 20 AÑOS</t>
  </si>
  <si>
    <t>QUILALEO, Mirta</t>
  </si>
  <si>
    <t>TOMA 10 DIAS  RESTANTES  18-05-26 AL 27-05-26</t>
  </si>
  <si>
    <t>21 A 25 AÑOS</t>
  </si>
  <si>
    <t>RUBILAR, Cristina</t>
  </si>
  <si>
    <t>26 A 30 AÑOS</t>
  </si>
  <si>
    <t>TEBES,  Maía José</t>
  </si>
  <si>
    <t>ILLANES, Carlos</t>
  </si>
  <si>
    <t>OJEDA. Edith</t>
  </si>
  <si>
    <t>SANDOVAL, Matias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</si>
</sst>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Border="1" applyFont="1"/>
    <xf borderId="1" fillId="0" fontId="2" numFmtId="164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4" fontId="4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NTIGUEDAD - VACA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TIGUEDAD - VACACIONE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71" displayName="ANTIGUEDAD_Y_VACACIONES" name="ANTIGUEDAD_Y_VACACIONES" id="1">
  <autoFilter ref="$A$4:$H$71"/>
  <tableColumns count="8">
    <tableColumn name="CATEGORÍA" id="1"/>
    <tableColumn name="EMPLEADO" id="2"/>
    <tableColumn name="FECHA DE INGRESO" id="3"/>
    <tableColumn name="ANTIGÜEDAD" id="4"/>
    <tableColumn name="DIAS DE VACACIONES" id="5"/>
    <tableColumn name="DÍAS TOMADOS" id="6"/>
    <tableColumn name="DÍAS RESTANTES" id="7"/>
    <tableColumn name="OBSERVACIONES" id="8"/>
  </tableColumns>
  <tableStyleInfo name="ANTIGUEDAD - VACACIONES-style" showColumnStripes="0" showFirstColumn="1" showLastColumn="1" showRowStripes="1"/>
</table>
</file>

<file path=xl/tables/table2.xml><?xml version="1.0" encoding="utf-8"?>
<table xmlns="http://schemas.openxmlformats.org/spreadsheetml/2006/main" ref="I4:K14" displayName="PERÍODOS" name="PERÍODOS" id="2">
  <tableColumns count="3">
    <tableColumn name="PERÍODO" id="1"/>
    <tableColumn name="AÑOS" id="2"/>
    <tableColumn name="DÍAS" id="3"/>
  </tableColumns>
  <tableStyleInfo name="ANTIGUEDAD - VACACION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86"/>
    <col customWidth="1" min="3" max="3" width="28.86"/>
    <col customWidth="1" min="4" max="4" width="19.0"/>
    <col customWidth="1" min="5" max="5" width="27.14"/>
    <col customWidth="1" min="6" max="6" width="22.29"/>
    <col customWidth="1" min="7" max="8" width="22.43"/>
    <col customWidth="1" min="9" max="9" width="15.71"/>
  </cols>
  <sheetData>
    <row r="2">
      <c r="A2" s="1" t="s">
        <v>0</v>
      </c>
      <c r="B2" s="2">
        <f>TODAY()</f>
        <v>46167</v>
      </c>
    </row>
    <row r="4" ht="22.5" customHeigh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5" t="s">
        <v>7</v>
      </c>
      <c r="H4" s="5" t="s">
        <v>8</v>
      </c>
      <c r="I4" s="3" t="s">
        <v>9</v>
      </c>
      <c r="J4" s="3" t="s">
        <v>10</v>
      </c>
      <c r="K4" s="3" t="s">
        <v>11</v>
      </c>
    </row>
    <row r="5" ht="32.25" customHeight="1">
      <c r="A5" s="6" t="s">
        <v>12</v>
      </c>
      <c r="B5" s="7" t="s">
        <v>13</v>
      </c>
      <c r="C5" s="8">
        <v>39814.0</v>
      </c>
      <c r="D5" s="9">
        <f t="shared" ref="D5:D71" si="1">IF(ISBLANK(C5), 0, IFERROR(DATEDIF(C5,$B$2,"Y"), 0))</f>
        <v>17</v>
      </c>
      <c r="E5" s="9">
        <f>IFERROR(VLOOKUP(D5,PERÍODOS[[AÑOS]:[DÍAS]],2,1),"-")</f>
        <v>35</v>
      </c>
      <c r="F5" s="10">
        <v>28.0</v>
      </c>
      <c r="G5" s="11">
        <f t="shared" ref="G5:G71" si="2">IFERROR(E5-F5,"-")</f>
        <v>7</v>
      </c>
      <c r="H5" s="12"/>
      <c r="I5" s="13" t="s">
        <v>14</v>
      </c>
      <c r="J5" s="13">
        <v>1.0</v>
      </c>
      <c r="K5" s="13">
        <v>12.0</v>
      </c>
      <c r="L5" s="14"/>
    </row>
    <row r="6" ht="27.75" customHeight="1">
      <c r="A6" s="6" t="s">
        <v>12</v>
      </c>
      <c r="B6" s="7" t="s">
        <v>15</v>
      </c>
      <c r="C6" s="8">
        <v>39814.0</v>
      </c>
      <c r="D6" s="9">
        <f t="shared" si="1"/>
        <v>17</v>
      </c>
      <c r="E6" s="9">
        <f>IFERROR(VLOOKUP(D6,PERÍODOS[[AÑOS]:[DÍAS]],2,1),"-")</f>
        <v>35</v>
      </c>
      <c r="F6" s="10">
        <v>35.0</v>
      </c>
      <c r="G6" s="11">
        <f t="shared" si="2"/>
        <v>0</v>
      </c>
      <c r="H6" s="12"/>
      <c r="I6" s="13" t="s">
        <v>16</v>
      </c>
      <c r="J6" s="13">
        <v>2.0</v>
      </c>
      <c r="K6" s="13">
        <v>14.0</v>
      </c>
      <c r="L6" s="14"/>
    </row>
    <row r="7" ht="30.0" customHeight="1">
      <c r="A7" s="6" t="s">
        <v>17</v>
      </c>
      <c r="B7" s="7" t="s">
        <v>18</v>
      </c>
      <c r="C7" s="8">
        <v>37251.0</v>
      </c>
      <c r="D7" s="9">
        <f t="shared" si="1"/>
        <v>24</v>
      </c>
      <c r="E7" s="9">
        <f>IFERROR(VLOOKUP(D7,PERÍODOS[[AÑOS]:[DÍAS]],2,1),"-")</f>
        <v>40</v>
      </c>
      <c r="F7" s="10">
        <v>35.0</v>
      </c>
      <c r="G7" s="11">
        <f t="shared" si="2"/>
        <v>5</v>
      </c>
      <c r="H7" s="12"/>
      <c r="I7" s="13" t="s">
        <v>19</v>
      </c>
      <c r="J7" s="13">
        <v>3.0</v>
      </c>
      <c r="K7" s="13">
        <v>16.0</v>
      </c>
      <c r="L7" s="14"/>
    </row>
    <row r="8" ht="28.5" customHeight="1">
      <c r="A8" s="6" t="s">
        <v>17</v>
      </c>
      <c r="B8" s="7" t="s">
        <v>20</v>
      </c>
      <c r="C8" s="15">
        <v>39492.0</v>
      </c>
      <c r="D8" s="9">
        <f t="shared" si="1"/>
        <v>18</v>
      </c>
      <c r="E8" s="9">
        <f>IFERROR(VLOOKUP(D8,PERÍODOS[[AÑOS]:[DÍAS]],2,1),"-")</f>
        <v>35</v>
      </c>
      <c r="F8" s="10">
        <v>35.0</v>
      </c>
      <c r="G8" s="11">
        <f t="shared" si="2"/>
        <v>0</v>
      </c>
      <c r="H8" s="12"/>
      <c r="I8" s="13" t="s">
        <v>21</v>
      </c>
      <c r="J8" s="13">
        <v>4.0</v>
      </c>
      <c r="K8" s="13">
        <v>18.0</v>
      </c>
      <c r="L8" s="14"/>
    </row>
    <row r="9" ht="30.0" customHeight="1">
      <c r="A9" s="6" t="s">
        <v>12</v>
      </c>
      <c r="B9" s="7" t="s">
        <v>22</v>
      </c>
      <c r="C9" s="8">
        <v>40606.0</v>
      </c>
      <c r="D9" s="9">
        <f t="shared" si="1"/>
        <v>15</v>
      </c>
      <c r="E9" s="9">
        <f>IFERROR(VLOOKUP(D9,PERÍODOS[[AÑOS]:[DÍAS]],2,1),"-")</f>
        <v>30</v>
      </c>
      <c r="F9" s="10">
        <v>25.0</v>
      </c>
      <c r="G9" s="11">
        <f t="shared" si="2"/>
        <v>5</v>
      </c>
      <c r="H9" s="12"/>
      <c r="I9" s="13" t="s">
        <v>23</v>
      </c>
      <c r="J9" s="13">
        <v>5.0</v>
      </c>
      <c r="K9" s="13">
        <v>20.0</v>
      </c>
      <c r="L9" s="14"/>
    </row>
    <row r="10" ht="29.25" customHeight="1">
      <c r="A10" s="6" t="s">
        <v>12</v>
      </c>
      <c r="B10" s="7" t="s">
        <v>24</v>
      </c>
      <c r="C10" s="8">
        <v>37970.0</v>
      </c>
      <c r="D10" s="9">
        <f t="shared" si="1"/>
        <v>22</v>
      </c>
      <c r="E10" s="9">
        <f>IFERROR(VLOOKUP(D10,PERÍODOS[[AÑOS]:[DÍAS]],2,1),"-")</f>
        <v>40</v>
      </c>
      <c r="F10" s="10">
        <v>20.0</v>
      </c>
      <c r="G10" s="11">
        <f t="shared" si="2"/>
        <v>20</v>
      </c>
      <c r="H10" s="12"/>
      <c r="I10" s="13" t="s">
        <v>25</v>
      </c>
      <c r="J10" s="13">
        <v>6.0</v>
      </c>
      <c r="K10" s="7">
        <v>25.0</v>
      </c>
      <c r="L10" s="14"/>
    </row>
    <row r="11" ht="22.5" customHeight="1">
      <c r="A11" s="6" t="s">
        <v>12</v>
      </c>
      <c r="B11" s="7" t="s">
        <v>26</v>
      </c>
      <c r="C11" s="8">
        <v>39873.0</v>
      </c>
      <c r="D11" s="9">
        <f t="shared" si="1"/>
        <v>17</v>
      </c>
      <c r="E11" s="9">
        <f>IFERROR(VLOOKUP(D11,PERÍODOS[[AÑOS]:[DÍAS]],2,1),"-")</f>
        <v>35</v>
      </c>
      <c r="F11" s="10">
        <v>35.0</v>
      </c>
      <c r="G11" s="11">
        <f t="shared" si="2"/>
        <v>0</v>
      </c>
      <c r="H11" s="12"/>
      <c r="I11" s="13" t="s">
        <v>27</v>
      </c>
      <c r="J11" s="13">
        <v>11.0</v>
      </c>
      <c r="K11" s="7">
        <v>30.0</v>
      </c>
      <c r="L11" s="14"/>
    </row>
    <row r="12" ht="27.75" customHeight="1">
      <c r="A12" s="6" t="s">
        <v>17</v>
      </c>
      <c r="B12" s="7" t="s">
        <v>28</v>
      </c>
      <c r="C12" s="8">
        <v>39889.0</v>
      </c>
      <c r="D12" s="9">
        <f t="shared" si="1"/>
        <v>17</v>
      </c>
      <c r="E12" s="9">
        <f>IFERROR(VLOOKUP(D12,PERÍODOS[[AÑOS]:[DÍAS]],2,1),"-")</f>
        <v>35</v>
      </c>
      <c r="F12" s="16"/>
      <c r="G12" s="11">
        <f t="shared" si="2"/>
        <v>35</v>
      </c>
      <c r="H12" s="12"/>
      <c r="I12" s="13" t="s">
        <v>29</v>
      </c>
      <c r="J12" s="13">
        <v>16.0</v>
      </c>
      <c r="K12" s="7">
        <v>35.0</v>
      </c>
      <c r="L12" s="14"/>
    </row>
    <row r="13" ht="63.75" customHeight="1">
      <c r="A13" s="6" t="s">
        <v>12</v>
      </c>
      <c r="B13" s="7" t="s">
        <v>30</v>
      </c>
      <c r="C13" s="8">
        <v>37702.0</v>
      </c>
      <c r="D13" s="9">
        <f t="shared" si="1"/>
        <v>23</v>
      </c>
      <c r="E13" s="9">
        <f>IFERROR(VLOOKUP(D13,PERÍODOS[[AÑOS]:[DÍAS]],2,1),"-")</f>
        <v>40</v>
      </c>
      <c r="F13" s="10">
        <v>30.0</v>
      </c>
      <c r="G13" s="11">
        <f t="shared" si="2"/>
        <v>10</v>
      </c>
      <c r="H13" s="17" t="s">
        <v>31</v>
      </c>
      <c r="I13" s="7" t="s">
        <v>32</v>
      </c>
      <c r="J13" s="13">
        <v>21.0</v>
      </c>
      <c r="K13" s="7">
        <v>40.0</v>
      </c>
      <c r="L13" s="14"/>
    </row>
    <row r="14" ht="32.25" customHeight="1">
      <c r="A14" s="6" t="s">
        <v>12</v>
      </c>
      <c r="B14" s="7" t="s">
        <v>33</v>
      </c>
      <c r="C14" s="8"/>
      <c r="D14" s="9">
        <f t="shared" si="1"/>
        <v>0</v>
      </c>
      <c r="E14" s="9" t="str">
        <f>IFERROR(VLOOKUP(D14,PERÍODOS[[AÑOS]:[DÍAS]],2,1),"-")</f>
        <v>-</v>
      </c>
      <c r="F14" s="16"/>
      <c r="G14" s="11" t="str">
        <f t="shared" si="2"/>
        <v>-</v>
      </c>
      <c r="H14" s="12"/>
      <c r="I14" s="13" t="s">
        <v>34</v>
      </c>
      <c r="J14" s="13">
        <v>26.0</v>
      </c>
      <c r="K14" s="7">
        <v>45.0</v>
      </c>
      <c r="L14" s="14"/>
    </row>
    <row r="15" ht="22.5" customHeight="1">
      <c r="A15" s="6" t="s">
        <v>17</v>
      </c>
      <c r="B15" s="7" t="s">
        <v>35</v>
      </c>
      <c r="C15" s="8">
        <v>40787.0</v>
      </c>
      <c r="D15" s="9">
        <f t="shared" si="1"/>
        <v>14</v>
      </c>
      <c r="E15" s="9">
        <f>IFERROR(VLOOKUP(D15,PERÍODOS[[AÑOS]:[DÍAS]],2,1),"-")</f>
        <v>30</v>
      </c>
      <c r="F15" s="10">
        <v>12.0</v>
      </c>
      <c r="G15" s="11">
        <f t="shared" si="2"/>
        <v>18</v>
      </c>
      <c r="H15" s="12"/>
      <c r="I15" s="14"/>
      <c r="J15" s="14"/>
      <c r="K15" s="14"/>
      <c r="L15" s="14"/>
    </row>
    <row r="16" ht="29.25" customHeight="1">
      <c r="A16" s="6" t="s">
        <v>17</v>
      </c>
      <c r="B16" s="7" t="s">
        <v>36</v>
      </c>
      <c r="C16" s="15">
        <v>40281.0</v>
      </c>
      <c r="D16" s="9">
        <f t="shared" si="1"/>
        <v>16</v>
      </c>
      <c r="E16" s="9">
        <f>IFERROR(VLOOKUP(D16,PERÍODOS[[AÑOS]:[DÍAS]],2,1),"-")</f>
        <v>35</v>
      </c>
      <c r="F16" s="16"/>
      <c r="G16" s="11">
        <f t="shared" si="2"/>
        <v>35</v>
      </c>
      <c r="H16" s="12"/>
      <c r="I16" s="14"/>
      <c r="J16" s="14"/>
      <c r="K16" s="14"/>
      <c r="L16" s="14"/>
    </row>
    <row r="17" ht="27.75" customHeight="1">
      <c r="A17" s="6" t="s">
        <v>17</v>
      </c>
      <c r="B17" s="7" t="s">
        <v>37</v>
      </c>
      <c r="C17" s="15">
        <v>41492.0</v>
      </c>
      <c r="D17" s="9">
        <f t="shared" si="1"/>
        <v>12</v>
      </c>
      <c r="E17" s="9">
        <f>IFERROR(VLOOKUP(D17,PERÍODOS[[AÑOS]:[DÍAS]],2,1),"-")</f>
        <v>30</v>
      </c>
      <c r="F17" s="16"/>
      <c r="G17" s="11">
        <f t="shared" si="2"/>
        <v>30</v>
      </c>
      <c r="H17" s="12"/>
      <c r="I17" s="14"/>
      <c r="J17" s="14"/>
      <c r="K17" s="14"/>
      <c r="L17" s="14"/>
    </row>
    <row r="18" ht="27.75" customHeight="1">
      <c r="A18" s="6" t="s">
        <v>12</v>
      </c>
      <c r="B18" s="7" t="s">
        <v>38</v>
      </c>
      <c r="C18" s="15"/>
      <c r="D18" s="9">
        <f t="shared" si="1"/>
        <v>0</v>
      </c>
      <c r="E18" s="9" t="str">
        <f>IFERROR(VLOOKUP(D18,PERÍODOS[[AÑOS]:[DÍAS]],2,1),"-")</f>
        <v>-</v>
      </c>
      <c r="F18" s="16"/>
      <c r="G18" s="11" t="str">
        <f t="shared" si="2"/>
        <v>-</v>
      </c>
      <c r="H18" s="12"/>
      <c r="I18" s="14"/>
      <c r="J18" s="14"/>
      <c r="K18" s="14"/>
      <c r="L18" s="14"/>
    </row>
    <row r="19" ht="22.5" customHeight="1">
      <c r="A19" s="13"/>
      <c r="B19" s="13"/>
      <c r="C19" s="15"/>
      <c r="D19" s="9">
        <f t="shared" si="1"/>
        <v>0</v>
      </c>
      <c r="E19" s="9" t="str">
        <f>IFERROR(VLOOKUP(D19,PERÍODOS[[AÑOS]:[DÍAS]],2,1),"-")</f>
        <v>-</v>
      </c>
      <c r="F19" s="16"/>
      <c r="G19" s="11" t="str">
        <f t="shared" si="2"/>
        <v>-</v>
      </c>
      <c r="H19" s="12"/>
      <c r="I19" s="14"/>
      <c r="J19" s="14"/>
      <c r="K19" s="14"/>
      <c r="L19" s="14"/>
    </row>
    <row r="20" ht="22.5" customHeight="1">
      <c r="A20" s="13"/>
      <c r="B20" s="13"/>
      <c r="C20" s="15"/>
      <c r="D20" s="9">
        <f t="shared" si="1"/>
        <v>0</v>
      </c>
      <c r="E20" s="9" t="str">
        <f>IFERROR(VLOOKUP(D20,PERÍODOS[[AÑOS]:[DÍAS]],2,1),"-")</f>
        <v>-</v>
      </c>
      <c r="F20" s="16"/>
      <c r="G20" s="11" t="str">
        <f t="shared" si="2"/>
        <v>-</v>
      </c>
      <c r="H20" s="12"/>
      <c r="I20" s="14"/>
      <c r="J20" s="14"/>
      <c r="K20" s="14"/>
      <c r="L20" s="14"/>
    </row>
    <row r="21" ht="22.5" customHeight="1">
      <c r="A21" s="13"/>
      <c r="B21" s="13"/>
      <c r="C21" s="15"/>
      <c r="D21" s="9">
        <f t="shared" si="1"/>
        <v>0</v>
      </c>
      <c r="E21" s="9" t="str">
        <f>IFERROR(VLOOKUP(D21,PERÍODOS[[AÑOS]:[DÍAS]],2,1),"-")</f>
        <v>-</v>
      </c>
      <c r="F21" s="16"/>
      <c r="G21" s="11" t="str">
        <f t="shared" si="2"/>
        <v>-</v>
      </c>
      <c r="H21" s="12"/>
      <c r="I21" s="14"/>
      <c r="J21" s="14"/>
      <c r="K21" s="14"/>
      <c r="L21" s="14"/>
    </row>
    <row r="22" ht="22.5" customHeight="1">
      <c r="A22" s="13"/>
      <c r="B22" s="13"/>
      <c r="C22" s="15"/>
      <c r="D22" s="9">
        <f t="shared" si="1"/>
        <v>0</v>
      </c>
      <c r="E22" s="9" t="str">
        <f>IFERROR(VLOOKUP(D22,PERÍODOS[[AÑOS]:[DÍAS]],2,1),"-")</f>
        <v>-</v>
      </c>
      <c r="F22" s="16"/>
      <c r="G22" s="11" t="str">
        <f t="shared" si="2"/>
        <v>-</v>
      </c>
      <c r="H22" s="12"/>
      <c r="I22" s="14"/>
      <c r="J22" s="14"/>
      <c r="K22" s="14"/>
      <c r="L22" s="14"/>
    </row>
    <row r="23" ht="22.5" customHeight="1">
      <c r="A23" s="18"/>
      <c r="B23" s="18"/>
      <c r="C23" s="19"/>
      <c r="D23" s="20">
        <f t="shared" si="1"/>
        <v>0</v>
      </c>
      <c r="E23" s="20" t="str">
        <f>IFERROR(VLOOKUP(D23,PERÍODOS[[AÑOS]:[DÍAS]],2,1),"-")</f>
        <v>-</v>
      </c>
      <c r="F23" s="21"/>
      <c r="G23" s="22" t="str">
        <f t="shared" si="2"/>
        <v>-</v>
      </c>
      <c r="H23" s="23"/>
    </row>
    <row r="24" ht="22.5" customHeight="1">
      <c r="A24" s="18"/>
      <c r="B24" s="18"/>
      <c r="C24" s="19"/>
      <c r="D24" s="20">
        <f t="shared" si="1"/>
        <v>0</v>
      </c>
      <c r="E24" s="20" t="str">
        <f>IFERROR(VLOOKUP(D24,PERÍODOS[[AÑOS]:[DÍAS]],2,1),"-")</f>
        <v>-</v>
      </c>
      <c r="F24" s="21"/>
      <c r="G24" s="22" t="str">
        <f t="shared" si="2"/>
        <v>-</v>
      </c>
      <c r="H24" s="23"/>
    </row>
    <row r="25" ht="22.5" customHeight="1">
      <c r="A25" s="18"/>
      <c r="B25" s="18"/>
      <c r="C25" s="19"/>
      <c r="D25" s="20">
        <f t="shared" si="1"/>
        <v>0</v>
      </c>
      <c r="E25" s="20" t="str">
        <f>IFERROR(VLOOKUP(D25,PERÍODOS[[AÑOS]:[DÍAS]],2,1),"-")</f>
        <v>-</v>
      </c>
      <c r="F25" s="21"/>
      <c r="G25" s="22" t="str">
        <f t="shared" si="2"/>
        <v>-</v>
      </c>
      <c r="H25" s="23"/>
    </row>
    <row r="26" ht="22.5" customHeight="1">
      <c r="A26" s="18"/>
      <c r="B26" s="18"/>
      <c r="C26" s="19"/>
      <c r="D26" s="20">
        <f t="shared" si="1"/>
        <v>0</v>
      </c>
      <c r="E26" s="20" t="str">
        <f>IFERROR(VLOOKUP(D26,PERÍODOS[[AÑOS]:[DÍAS]],2,1),"-")</f>
        <v>-</v>
      </c>
      <c r="F26" s="21"/>
      <c r="G26" s="22" t="str">
        <f t="shared" si="2"/>
        <v>-</v>
      </c>
      <c r="H26" s="22"/>
    </row>
    <row r="27" ht="22.5" customHeight="1">
      <c r="A27" s="18"/>
      <c r="B27" s="18"/>
      <c r="C27" s="19"/>
      <c r="D27" s="20">
        <f t="shared" si="1"/>
        <v>0</v>
      </c>
      <c r="E27" s="20" t="str">
        <f>IFERROR(VLOOKUP(D27,PERÍODOS[[AÑOS]:[DÍAS]],2,1),"-")</f>
        <v>-</v>
      </c>
      <c r="F27" s="21"/>
      <c r="G27" s="22" t="str">
        <f t="shared" si="2"/>
        <v>-</v>
      </c>
      <c r="H27" s="22"/>
    </row>
    <row r="28" ht="22.5" customHeight="1">
      <c r="A28" s="18"/>
      <c r="B28" s="18"/>
      <c r="C28" s="24"/>
      <c r="D28" s="20">
        <f t="shared" si="1"/>
        <v>0</v>
      </c>
      <c r="E28" s="20" t="str">
        <f>IFERROR(VLOOKUP(D28,PERÍODOS[[AÑOS]:[DÍAS]],2,1),"-")</f>
        <v>-</v>
      </c>
      <c r="F28" s="21"/>
      <c r="G28" s="22" t="str">
        <f t="shared" si="2"/>
        <v>-</v>
      </c>
      <c r="H28" s="22"/>
    </row>
    <row r="29" ht="22.5" customHeight="1">
      <c r="A29" s="18"/>
      <c r="B29" s="18"/>
      <c r="C29" s="19"/>
      <c r="D29" s="20">
        <f t="shared" si="1"/>
        <v>0</v>
      </c>
      <c r="E29" s="20" t="str">
        <f>IFERROR(VLOOKUP(D29,PERÍODOS[[AÑOS]:[DÍAS]],2,1),"-")</f>
        <v>-</v>
      </c>
      <c r="F29" s="21"/>
      <c r="G29" s="22" t="str">
        <f t="shared" si="2"/>
        <v>-</v>
      </c>
      <c r="H29" s="22"/>
    </row>
    <row r="30" ht="22.5" customHeight="1">
      <c r="A30" s="18"/>
      <c r="B30" s="18"/>
      <c r="C30" s="19"/>
      <c r="D30" s="20">
        <f t="shared" si="1"/>
        <v>0</v>
      </c>
      <c r="E30" s="20" t="str">
        <f>IFERROR(VLOOKUP(D30,PERÍODOS[[AÑOS]:[DÍAS]],2,1),"-")</f>
        <v>-</v>
      </c>
      <c r="F30" s="21"/>
      <c r="G30" s="22" t="str">
        <f t="shared" si="2"/>
        <v>-</v>
      </c>
      <c r="H30" s="22"/>
    </row>
    <row r="31" ht="22.5" customHeight="1">
      <c r="A31" s="18"/>
      <c r="B31" s="18"/>
      <c r="C31" s="19"/>
      <c r="D31" s="20">
        <f t="shared" si="1"/>
        <v>0</v>
      </c>
      <c r="E31" s="20" t="str">
        <f>IFERROR(VLOOKUP(D31,PERÍODOS[[AÑOS]:[DÍAS]],2,1),"-")</f>
        <v>-</v>
      </c>
      <c r="F31" s="21"/>
      <c r="G31" s="22" t="str">
        <f t="shared" si="2"/>
        <v>-</v>
      </c>
      <c r="H31" s="22"/>
    </row>
    <row r="32" ht="22.5" customHeight="1">
      <c r="A32" s="18"/>
      <c r="B32" s="18"/>
      <c r="C32" s="19"/>
      <c r="D32" s="20">
        <f t="shared" si="1"/>
        <v>0</v>
      </c>
      <c r="E32" s="20" t="str">
        <f>IFERROR(VLOOKUP(D32,PERÍODOS[[AÑOS]:[DÍAS]],2,1),"-")</f>
        <v>-</v>
      </c>
      <c r="F32" s="21"/>
      <c r="G32" s="22" t="str">
        <f t="shared" si="2"/>
        <v>-</v>
      </c>
      <c r="H32" s="22"/>
    </row>
    <row r="33" ht="22.5" customHeight="1">
      <c r="A33" s="18"/>
      <c r="B33" s="18"/>
      <c r="C33" s="19"/>
      <c r="D33" s="20">
        <f t="shared" si="1"/>
        <v>0</v>
      </c>
      <c r="E33" s="20" t="str">
        <f>IFERROR(VLOOKUP(D33,PERÍODOS[[AÑOS]:[DÍAS]],2,1),"-")</f>
        <v>-</v>
      </c>
      <c r="F33" s="21"/>
      <c r="G33" s="22" t="str">
        <f t="shared" si="2"/>
        <v>-</v>
      </c>
      <c r="H33" s="22"/>
    </row>
    <row r="34" ht="22.5" customHeight="1">
      <c r="A34" s="18"/>
      <c r="B34" s="18"/>
      <c r="C34" s="19"/>
      <c r="D34" s="20">
        <f t="shared" si="1"/>
        <v>0</v>
      </c>
      <c r="E34" s="20" t="str">
        <f>IFERROR(VLOOKUP(D34,PERÍODOS[[AÑOS]:[DÍAS]],2,1),"-")</f>
        <v>-</v>
      </c>
      <c r="F34" s="21"/>
      <c r="G34" s="22" t="str">
        <f t="shared" si="2"/>
        <v>-</v>
      </c>
      <c r="H34" s="22"/>
    </row>
    <row r="35" ht="22.5" customHeight="1">
      <c r="A35" s="18"/>
      <c r="B35" s="18"/>
      <c r="C35" s="19"/>
      <c r="D35" s="20">
        <f t="shared" si="1"/>
        <v>0</v>
      </c>
      <c r="E35" s="20" t="str">
        <f>IFERROR(VLOOKUP(D35,PERÍODOS[[AÑOS]:[DÍAS]],2,1),"-")</f>
        <v>-</v>
      </c>
      <c r="F35" s="21"/>
      <c r="G35" s="22" t="str">
        <f t="shared" si="2"/>
        <v>-</v>
      </c>
      <c r="H35" s="22"/>
    </row>
    <row r="36" ht="22.5" customHeight="1">
      <c r="A36" s="18"/>
      <c r="B36" s="18"/>
      <c r="C36" s="19"/>
      <c r="D36" s="20">
        <f t="shared" si="1"/>
        <v>0</v>
      </c>
      <c r="E36" s="20" t="str">
        <f>IFERROR(VLOOKUP(D36,PERÍODOS[[AÑOS]:[DÍAS]],2,1),"-")</f>
        <v>-</v>
      </c>
      <c r="F36" s="21"/>
      <c r="G36" s="22" t="str">
        <f t="shared" si="2"/>
        <v>-</v>
      </c>
      <c r="H36" s="22"/>
    </row>
    <row r="37" ht="22.5" customHeight="1">
      <c r="A37" s="18"/>
      <c r="B37" s="18"/>
      <c r="C37" s="19"/>
      <c r="D37" s="20">
        <f t="shared" si="1"/>
        <v>0</v>
      </c>
      <c r="E37" s="20" t="str">
        <f>IFERROR(VLOOKUP(D37,PERÍODOS[[AÑOS]:[DÍAS]],2,1),"-")</f>
        <v>-</v>
      </c>
      <c r="F37" s="21"/>
      <c r="G37" s="22" t="str">
        <f t="shared" si="2"/>
        <v>-</v>
      </c>
      <c r="H37" s="22"/>
    </row>
    <row r="38" ht="22.5" customHeight="1">
      <c r="A38" s="18"/>
      <c r="B38" s="18"/>
      <c r="C38" s="19"/>
      <c r="D38" s="20">
        <f t="shared" si="1"/>
        <v>0</v>
      </c>
      <c r="E38" s="20" t="str">
        <f>IFERROR(VLOOKUP(D38,PERÍODOS[[AÑOS]:[DÍAS]],2,1),"-")</f>
        <v>-</v>
      </c>
      <c r="F38" s="21"/>
      <c r="G38" s="22" t="str">
        <f t="shared" si="2"/>
        <v>-</v>
      </c>
      <c r="H38" s="22"/>
    </row>
    <row r="39" ht="22.5" customHeight="1">
      <c r="A39" s="18"/>
      <c r="B39" s="18"/>
      <c r="C39" s="19"/>
      <c r="D39" s="20">
        <f t="shared" si="1"/>
        <v>0</v>
      </c>
      <c r="E39" s="20" t="str">
        <f>IFERROR(VLOOKUP(D39,PERÍODOS[[AÑOS]:[DÍAS]],2,1),"-")</f>
        <v>-</v>
      </c>
      <c r="F39" s="21"/>
      <c r="G39" s="22" t="str">
        <f t="shared" si="2"/>
        <v>-</v>
      </c>
      <c r="H39" s="22"/>
    </row>
    <row r="40" ht="22.5" customHeight="1">
      <c r="A40" s="18"/>
      <c r="B40" s="18"/>
      <c r="C40" s="19"/>
      <c r="D40" s="20">
        <f t="shared" si="1"/>
        <v>0</v>
      </c>
      <c r="E40" s="20" t="str">
        <f>IFERROR(VLOOKUP(D40,PERÍODOS[[AÑOS]:[DÍAS]],2,1),"-")</f>
        <v>-</v>
      </c>
      <c r="F40" s="21"/>
      <c r="G40" s="22" t="str">
        <f t="shared" si="2"/>
        <v>-</v>
      </c>
      <c r="H40" s="22"/>
    </row>
    <row r="41" ht="22.5" customHeight="1">
      <c r="A41" s="18"/>
      <c r="B41" s="18"/>
      <c r="C41" s="19"/>
      <c r="D41" s="20">
        <f t="shared" si="1"/>
        <v>0</v>
      </c>
      <c r="E41" s="20" t="str">
        <f>IFERROR(VLOOKUP(D41,PERÍODOS[[AÑOS]:[DÍAS]],2,1),"-")</f>
        <v>-</v>
      </c>
      <c r="F41" s="21"/>
      <c r="G41" s="22" t="str">
        <f t="shared" si="2"/>
        <v>-</v>
      </c>
      <c r="H41" s="22"/>
    </row>
    <row r="42" ht="22.5" customHeight="1">
      <c r="A42" s="18"/>
      <c r="B42" s="18"/>
      <c r="C42" s="19"/>
      <c r="D42" s="20">
        <f t="shared" si="1"/>
        <v>0</v>
      </c>
      <c r="E42" s="20" t="str">
        <f>IFERROR(VLOOKUP(D42,PERÍODOS[[AÑOS]:[DÍAS]],2,1),"-")</f>
        <v>-</v>
      </c>
      <c r="F42" s="21"/>
      <c r="G42" s="22" t="str">
        <f t="shared" si="2"/>
        <v>-</v>
      </c>
      <c r="H42" s="22"/>
    </row>
    <row r="43" ht="22.5" customHeight="1">
      <c r="A43" s="18"/>
      <c r="B43" s="18"/>
      <c r="C43" s="19"/>
      <c r="D43" s="20">
        <f t="shared" si="1"/>
        <v>0</v>
      </c>
      <c r="E43" s="20" t="str">
        <f>IFERROR(VLOOKUP(D43,PERÍODOS[[AÑOS]:[DÍAS]],2,1),"-")</f>
        <v>-</v>
      </c>
      <c r="F43" s="21"/>
      <c r="G43" s="22" t="str">
        <f t="shared" si="2"/>
        <v>-</v>
      </c>
      <c r="H43" s="22"/>
    </row>
    <row r="44" ht="22.5" customHeight="1">
      <c r="A44" s="18"/>
      <c r="B44" s="18"/>
      <c r="C44" s="19"/>
      <c r="D44" s="20">
        <f t="shared" si="1"/>
        <v>0</v>
      </c>
      <c r="E44" s="20" t="str">
        <f>IFERROR(VLOOKUP(D44,PERÍODOS[[AÑOS]:[DÍAS]],2,1),"-")</f>
        <v>-</v>
      </c>
      <c r="F44" s="21"/>
      <c r="G44" s="22" t="str">
        <f t="shared" si="2"/>
        <v>-</v>
      </c>
      <c r="H44" s="22"/>
    </row>
    <row r="45" ht="22.5" customHeight="1">
      <c r="A45" s="18"/>
      <c r="B45" s="18"/>
      <c r="C45" s="19"/>
      <c r="D45" s="20">
        <f t="shared" si="1"/>
        <v>0</v>
      </c>
      <c r="E45" s="20" t="str">
        <f>IFERROR(VLOOKUP(D45,PERÍODOS[[AÑOS]:[DÍAS]],2,1),"-")</f>
        <v>-</v>
      </c>
      <c r="F45" s="21"/>
      <c r="G45" s="22" t="str">
        <f t="shared" si="2"/>
        <v>-</v>
      </c>
      <c r="H45" s="22"/>
    </row>
    <row r="46" ht="22.5" customHeight="1">
      <c r="A46" s="18"/>
      <c r="B46" s="18"/>
      <c r="C46" s="19"/>
      <c r="D46" s="20">
        <f t="shared" si="1"/>
        <v>0</v>
      </c>
      <c r="E46" s="20" t="str">
        <f>IFERROR(VLOOKUP(D46,PERÍODOS[[AÑOS]:[DÍAS]],2,1),"-")</f>
        <v>-</v>
      </c>
      <c r="F46" s="21"/>
      <c r="G46" s="22" t="str">
        <f t="shared" si="2"/>
        <v>-</v>
      </c>
      <c r="H46" s="22"/>
    </row>
    <row r="47" ht="22.5" customHeight="1">
      <c r="A47" s="18"/>
      <c r="B47" s="18"/>
      <c r="C47" s="19"/>
      <c r="D47" s="20">
        <f t="shared" si="1"/>
        <v>0</v>
      </c>
      <c r="E47" s="20" t="str">
        <f>IFERROR(VLOOKUP(D47,PERÍODOS[[AÑOS]:[DÍAS]],2,1),"-")</f>
        <v>-</v>
      </c>
      <c r="F47" s="21"/>
      <c r="G47" s="22" t="str">
        <f t="shared" si="2"/>
        <v>-</v>
      </c>
      <c r="H47" s="22"/>
    </row>
    <row r="48" ht="22.5" customHeight="1">
      <c r="A48" s="18"/>
      <c r="B48" s="18"/>
      <c r="C48" s="19"/>
      <c r="D48" s="20">
        <f t="shared" si="1"/>
        <v>0</v>
      </c>
      <c r="E48" s="20" t="str">
        <f>IFERROR(VLOOKUP(D48,PERÍODOS[[AÑOS]:[DÍAS]],2,1),"-")</f>
        <v>-</v>
      </c>
      <c r="F48" s="21"/>
      <c r="G48" s="22" t="str">
        <f t="shared" si="2"/>
        <v>-</v>
      </c>
      <c r="H48" s="22"/>
    </row>
    <row r="49" ht="22.5" customHeight="1">
      <c r="A49" s="18"/>
      <c r="C49" s="19"/>
      <c r="D49" s="20">
        <f t="shared" si="1"/>
        <v>0</v>
      </c>
      <c r="E49" s="20" t="str">
        <f>IFERROR(VLOOKUP(D49,PERÍODOS[[AÑOS]:[DÍAS]],2,1),"-")</f>
        <v>-</v>
      </c>
      <c r="F49" s="21"/>
      <c r="G49" s="22" t="str">
        <f t="shared" si="2"/>
        <v>-</v>
      </c>
      <c r="H49" s="22"/>
    </row>
    <row r="50" ht="22.5" customHeight="1">
      <c r="A50" s="18"/>
      <c r="C50" s="19"/>
      <c r="D50" s="20">
        <f t="shared" si="1"/>
        <v>0</v>
      </c>
      <c r="E50" s="20" t="str">
        <f>IFERROR(VLOOKUP(D50,PERÍODOS[[AÑOS]:[DÍAS]],2,1),"-")</f>
        <v>-</v>
      </c>
      <c r="F50" s="21"/>
      <c r="G50" s="22" t="str">
        <f t="shared" si="2"/>
        <v>-</v>
      </c>
      <c r="H50" s="22"/>
    </row>
    <row r="51" ht="22.5" customHeight="1">
      <c r="A51" s="18"/>
      <c r="C51" s="19"/>
      <c r="D51" s="20">
        <f t="shared" si="1"/>
        <v>0</v>
      </c>
      <c r="E51" s="20" t="str">
        <f>IFERROR(VLOOKUP(D51,PERÍODOS[[AÑOS]:[DÍAS]],2,1),"-")</f>
        <v>-</v>
      </c>
      <c r="F51" s="21"/>
      <c r="G51" s="22" t="str">
        <f t="shared" si="2"/>
        <v>-</v>
      </c>
      <c r="H51" s="22"/>
    </row>
    <row r="52" ht="22.5" customHeight="1">
      <c r="A52" s="18"/>
      <c r="C52" s="19"/>
      <c r="D52" s="20">
        <f t="shared" si="1"/>
        <v>0</v>
      </c>
      <c r="E52" s="20" t="str">
        <f>IFERROR(VLOOKUP(D52,PERÍODOS[[AÑOS]:[DÍAS]],2,1),"-")</f>
        <v>-</v>
      </c>
      <c r="F52" s="21"/>
      <c r="G52" s="22" t="str">
        <f t="shared" si="2"/>
        <v>-</v>
      </c>
      <c r="H52" s="22"/>
    </row>
    <row r="53" ht="22.5" customHeight="1">
      <c r="A53" s="18"/>
      <c r="C53" s="19"/>
      <c r="D53" s="20">
        <f t="shared" si="1"/>
        <v>0</v>
      </c>
      <c r="E53" s="20" t="str">
        <f>IFERROR(VLOOKUP(D53,PERÍODOS[[AÑOS]:[DÍAS]],2,1),"-")</f>
        <v>-</v>
      </c>
      <c r="F53" s="21"/>
      <c r="G53" s="22" t="str">
        <f t="shared" si="2"/>
        <v>-</v>
      </c>
      <c r="H53" s="22"/>
    </row>
    <row r="54" ht="22.5" customHeight="1">
      <c r="A54" s="18"/>
      <c r="C54" s="19"/>
      <c r="D54" s="20">
        <f t="shared" si="1"/>
        <v>0</v>
      </c>
      <c r="E54" s="20" t="str">
        <f>IFERROR(VLOOKUP(D54,PERÍODOS[[AÑOS]:[DÍAS]],2,1),"-")</f>
        <v>-</v>
      </c>
      <c r="F54" s="21"/>
      <c r="G54" s="22" t="str">
        <f t="shared" si="2"/>
        <v>-</v>
      </c>
      <c r="H54" s="22"/>
    </row>
    <row r="55" ht="22.5" customHeight="1">
      <c r="A55" s="18"/>
      <c r="C55" s="19"/>
      <c r="D55" s="20">
        <f t="shared" si="1"/>
        <v>0</v>
      </c>
      <c r="E55" s="20" t="str">
        <f>IFERROR(VLOOKUP(D55,PERÍODOS[[AÑOS]:[DÍAS]],2,1),"-")</f>
        <v>-</v>
      </c>
      <c r="F55" s="21"/>
      <c r="G55" s="22" t="str">
        <f t="shared" si="2"/>
        <v>-</v>
      </c>
      <c r="H55" s="22"/>
    </row>
    <row r="56" ht="22.5" customHeight="1">
      <c r="A56" s="18"/>
      <c r="C56" s="19"/>
      <c r="D56" s="20">
        <f t="shared" si="1"/>
        <v>0</v>
      </c>
      <c r="E56" s="20" t="str">
        <f>IFERROR(VLOOKUP(D56,PERÍODOS[[AÑOS]:[DÍAS]],2,1),"-")</f>
        <v>-</v>
      </c>
      <c r="F56" s="21"/>
      <c r="G56" s="22" t="str">
        <f t="shared" si="2"/>
        <v>-</v>
      </c>
      <c r="H56" s="22"/>
    </row>
    <row r="57" ht="22.5" customHeight="1">
      <c r="A57" s="18"/>
      <c r="C57" s="19"/>
      <c r="D57" s="20">
        <f t="shared" si="1"/>
        <v>0</v>
      </c>
      <c r="E57" s="20" t="str">
        <f>IFERROR(VLOOKUP(D57,PERÍODOS[[AÑOS]:[DÍAS]],2,1),"-")</f>
        <v>-</v>
      </c>
      <c r="F57" s="21"/>
      <c r="G57" s="22" t="str">
        <f t="shared" si="2"/>
        <v>-</v>
      </c>
      <c r="H57" s="22"/>
    </row>
    <row r="58" ht="22.5" customHeight="1">
      <c r="A58" s="18"/>
      <c r="C58" s="19"/>
      <c r="D58" s="20">
        <f t="shared" si="1"/>
        <v>0</v>
      </c>
      <c r="E58" s="20" t="str">
        <f>IFERROR(VLOOKUP(D58,PERÍODOS[[AÑOS]:[DÍAS]],2,1),"-")</f>
        <v>-</v>
      </c>
      <c r="F58" s="21"/>
      <c r="G58" s="22" t="str">
        <f t="shared" si="2"/>
        <v>-</v>
      </c>
      <c r="H58" s="22"/>
    </row>
    <row r="59" ht="22.5" customHeight="1">
      <c r="A59" s="18"/>
      <c r="C59" s="19"/>
      <c r="D59" s="20">
        <f t="shared" si="1"/>
        <v>0</v>
      </c>
      <c r="E59" s="20" t="str">
        <f>IFERROR(VLOOKUP(D59,PERÍODOS[[AÑOS]:[DÍAS]],2,1),"-")</f>
        <v>-</v>
      </c>
      <c r="F59" s="21"/>
      <c r="G59" s="22" t="str">
        <f t="shared" si="2"/>
        <v>-</v>
      </c>
      <c r="H59" s="22"/>
    </row>
    <row r="60" ht="22.5" customHeight="1">
      <c r="A60" s="18"/>
      <c r="C60" s="19"/>
      <c r="D60" s="20">
        <f t="shared" si="1"/>
        <v>0</v>
      </c>
      <c r="E60" s="20" t="str">
        <f>IFERROR(VLOOKUP(D60,PERÍODOS[[AÑOS]:[DÍAS]],2,1),"-")</f>
        <v>-</v>
      </c>
      <c r="F60" s="21"/>
      <c r="G60" s="22" t="str">
        <f t="shared" si="2"/>
        <v>-</v>
      </c>
      <c r="H60" s="22"/>
    </row>
    <row r="61" ht="22.5" customHeight="1">
      <c r="A61" s="18"/>
      <c r="C61" s="19"/>
      <c r="D61" s="20">
        <f t="shared" si="1"/>
        <v>0</v>
      </c>
      <c r="E61" s="20" t="str">
        <f>IFERROR(VLOOKUP(D61,PERÍODOS[[AÑOS]:[DÍAS]],2,1),"-")</f>
        <v>-</v>
      </c>
      <c r="F61" s="21"/>
      <c r="G61" s="22" t="str">
        <f t="shared" si="2"/>
        <v>-</v>
      </c>
      <c r="H61" s="22"/>
    </row>
    <row r="62" ht="22.5" customHeight="1">
      <c r="A62" s="18"/>
      <c r="C62" s="19"/>
      <c r="D62" s="20">
        <f t="shared" si="1"/>
        <v>0</v>
      </c>
      <c r="E62" s="20" t="str">
        <f>IFERROR(VLOOKUP(D62,PERÍODOS[[AÑOS]:[DÍAS]],2,1),"-")</f>
        <v>-</v>
      </c>
      <c r="F62" s="21"/>
      <c r="G62" s="22" t="str">
        <f t="shared" si="2"/>
        <v>-</v>
      </c>
      <c r="H62" s="22"/>
    </row>
    <row r="63" ht="22.5" customHeight="1">
      <c r="A63" s="18"/>
      <c r="C63" s="19"/>
      <c r="D63" s="20">
        <f t="shared" si="1"/>
        <v>0</v>
      </c>
      <c r="E63" s="20" t="str">
        <f>IFERROR(VLOOKUP(D63,PERÍODOS[[AÑOS]:[DÍAS]],2,1),"-")</f>
        <v>-</v>
      </c>
      <c r="F63" s="21"/>
      <c r="G63" s="22" t="str">
        <f t="shared" si="2"/>
        <v>-</v>
      </c>
      <c r="H63" s="22"/>
    </row>
    <row r="64" ht="22.5" customHeight="1">
      <c r="A64" s="18"/>
      <c r="C64" s="19"/>
      <c r="D64" s="20">
        <f t="shared" si="1"/>
        <v>0</v>
      </c>
      <c r="E64" s="20" t="str">
        <f>IFERROR(VLOOKUP(D64,PERÍODOS[[AÑOS]:[DÍAS]],2,1),"-")</f>
        <v>-</v>
      </c>
      <c r="F64" s="21"/>
      <c r="G64" s="22" t="str">
        <f t="shared" si="2"/>
        <v>-</v>
      </c>
      <c r="H64" s="22"/>
    </row>
    <row r="65" ht="22.5" customHeight="1">
      <c r="A65" s="18"/>
      <c r="C65" s="19"/>
      <c r="D65" s="20">
        <f t="shared" si="1"/>
        <v>0</v>
      </c>
      <c r="E65" s="20" t="str">
        <f>IFERROR(VLOOKUP(D65,PERÍODOS[[AÑOS]:[DÍAS]],2,1),"-")</f>
        <v>-</v>
      </c>
      <c r="F65" s="21"/>
      <c r="G65" s="22" t="str">
        <f t="shared" si="2"/>
        <v>-</v>
      </c>
      <c r="H65" s="22"/>
    </row>
    <row r="66" ht="22.5" customHeight="1">
      <c r="A66" s="18"/>
      <c r="C66" s="19"/>
      <c r="D66" s="20">
        <f t="shared" si="1"/>
        <v>0</v>
      </c>
      <c r="E66" s="20" t="str">
        <f>IFERROR(VLOOKUP(D66,PERÍODOS[[AÑOS]:[DÍAS]],2,1),"-")</f>
        <v>-</v>
      </c>
      <c r="F66" s="21"/>
      <c r="G66" s="22" t="str">
        <f t="shared" si="2"/>
        <v>-</v>
      </c>
      <c r="H66" s="22"/>
    </row>
    <row r="67" ht="22.5" customHeight="1">
      <c r="A67" s="18"/>
      <c r="C67" s="19"/>
      <c r="D67" s="20">
        <f t="shared" si="1"/>
        <v>0</v>
      </c>
      <c r="E67" s="20" t="str">
        <f>IFERROR(VLOOKUP(D67,PERÍODOS[[AÑOS]:[DÍAS]],2,1),"-")</f>
        <v>-</v>
      </c>
      <c r="F67" s="21"/>
      <c r="G67" s="22" t="str">
        <f t="shared" si="2"/>
        <v>-</v>
      </c>
      <c r="H67" s="22"/>
    </row>
    <row r="68" ht="22.5" customHeight="1">
      <c r="A68" s="18"/>
      <c r="C68" s="19"/>
      <c r="D68" s="20">
        <f t="shared" si="1"/>
        <v>0</v>
      </c>
      <c r="E68" s="20" t="str">
        <f>IFERROR(VLOOKUP(D68,PERÍODOS[[AÑOS]:[DÍAS]],2,1),"-")</f>
        <v>-</v>
      </c>
      <c r="F68" s="21"/>
      <c r="G68" s="22" t="str">
        <f t="shared" si="2"/>
        <v>-</v>
      </c>
      <c r="H68" s="22"/>
    </row>
    <row r="69" ht="22.5" customHeight="1">
      <c r="A69" s="18"/>
      <c r="C69" s="19"/>
      <c r="D69" s="20">
        <f t="shared" si="1"/>
        <v>0</v>
      </c>
      <c r="E69" s="20" t="str">
        <f>IFERROR(VLOOKUP(D69,PERÍODOS[[AÑOS]:[DÍAS]],2,1),"-")</f>
        <v>-</v>
      </c>
      <c r="F69" s="21"/>
      <c r="G69" s="22" t="str">
        <f t="shared" si="2"/>
        <v>-</v>
      </c>
      <c r="H69" s="22"/>
    </row>
    <row r="70" ht="22.5" customHeight="1">
      <c r="A70" s="18"/>
      <c r="C70" s="19"/>
      <c r="D70" s="20">
        <f t="shared" si="1"/>
        <v>0</v>
      </c>
      <c r="E70" s="20" t="str">
        <f>IFERROR(VLOOKUP(D70,PERÍODOS[[AÑOS]:[DÍAS]],2,1),"-")</f>
        <v>-</v>
      </c>
      <c r="F70" s="21"/>
      <c r="G70" s="22" t="str">
        <f t="shared" si="2"/>
        <v>-</v>
      </c>
      <c r="H70" s="22"/>
    </row>
    <row r="71" ht="22.5" customHeight="1">
      <c r="A71" s="18"/>
      <c r="C71" s="19"/>
      <c r="D71" s="20">
        <f t="shared" si="1"/>
        <v>0</v>
      </c>
      <c r="E71" s="20" t="str">
        <f>IFERROR(VLOOKUP(D71,PERÍODOS[[AÑOS]:[DÍAS]],2,1),"-")</f>
        <v>-</v>
      </c>
      <c r="F71" s="21"/>
      <c r="G71" s="22" t="str">
        <f t="shared" si="2"/>
        <v>-</v>
      </c>
      <c r="H71" s="22"/>
    </row>
  </sheetData>
  <dataValidations>
    <dataValidation type="list" allowBlank="1" sqref="A5:A71">
      <formula1>"DIRECTIVO,SECRETARIO/A,AUX. ADMINISTRATIVO,AUX. OPERATIVO,CAMB. FUNCIÓN"</formula1>
    </dataValidation>
    <dataValidation type="custom" allowBlank="1" showDropDown="1" sqref="C5:C71">
      <formula1>OR(NOT(ISERROR(DATEVALUE(C5))), AND(ISNUMBER(C5), LEFT(CELL("format", C5))="D"))</formula1>
    </dataValidation>
  </dataValidations>
  <drawing r:id="rId1"/>
  <tableParts count="2">
    <tablePart r:id="rId4"/>
    <tablePart r:id="rId5"/>
  </tableParts>
</worksheet>
</file>